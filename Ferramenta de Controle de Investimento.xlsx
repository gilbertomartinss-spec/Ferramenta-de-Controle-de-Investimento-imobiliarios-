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be\Downloads\Cursos\DIO - Criacao de Agentes\Projeto Ferramenta de Controle\"/>
    </mc:Choice>
  </mc:AlternateContent>
  <xr:revisionPtr revIDLastSave="0" documentId="13_ncr:1_{6D4D3E19-5CC5-4B30-90B1-86EB42F9BBC0}" xr6:coauthVersionLast="47" xr6:coauthVersionMax="47" xr10:uidLastSave="{00000000-0000-0000-0000-000000000000}"/>
  <bookViews>
    <workbookView xWindow="-120" yWindow="-120" windowWidth="20730" windowHeight="11040" tabRatio="0" xr2:uid="{F857FFF3-0C6D-4A0A-969E-4BF6AAAB3F92}"/>
  </bookViews>
  <sheets>
    <sheet name="Controle_Investimento" sheetId="1" r:id="rId1"/>
    <sheet name="Planilha1" sheetId="3" r:id="rId2"/>
    <sheet name="Planilha2" sheetId="2" r:id="rId3"/>
  </sheets>
  <definedNames>
    <definedName name="Aporte">Controle_Investimento!$F$14</definedName>
    <definedName name="dividendo">Controle_Investimento!$F$18</definedName>
    <definedName name="patrimonio_Ac">Controle_Investimento!$F$17</definedName>
    <definedName name="QTD_Anos">Controle_Investimento!$F$15</definedName>
    <definedName name="Rendiemento_Carteira">Controle_Investimento!$F$10</definedName>
    <definedName name="salario">Controle_Investimento!$F$9</definedName>
    <definedName name="sugestao_invest">Controle_Investimento!$F$11</definedName>
    <definedName name="Taxa_Mensal">Controle_Investimento!$F$16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1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F11" i="1"/>
  <c r="F14" i="1" l="1"/>
  <c r="F28" i="1"/>
  <c r="E24" i="1" l="1"/>
  <c r="F24" i="1" s="1"/>
  <c r="E22" i="1"/>
  <c r="F22" i="1" s="1"/>
  <c r="E23" i="1"/>
  <c r="F23" i="1" s="1"/>
  <c r="E25" i="1"/>
  <c r="F25" i="1" s="1"/>
  <c r="F33" i="1"/>
  <c r="F34" i="1"/>
  <c r="E21" i="1"/>
  <c r="F21" i="1" s="1"/>
  <c r="F17" i="1"/>
  <c r="F18" i="1" s="1"/>
  <c r="F35" i="1"/>
  <c r="F36" i="1"/>
  <c r="F31" i="1"/>
  <c r="F32" i="1"/>
  <c r="F37" i="1" l="1"/>
</calcChain>
</file>

<file path=xl/sharedStrings.xml><?xml version="1.0" encoding="utf-8"?>
<sst xmlns="http://schemas.openxmlformats.org/spreadsheetml/2006/main" count="70" uniqueCount="34">
  <si>
    <t>Quanto investir por mês?</t>
  </si>
  <si>
    <t>Taxa de Rendimentos mensal?</t>
  </si>
  <si>
    <t>Por quantos anos?</t>
  </si>
  <si>
    <t>Dividendos mensais?</t>
  </si>
  <si>
    <t>INVESTIMENTO MENSASL</t>
  </si>
  <si>
    <t>Patrimônio acumulado?</t>
  </si>
  <si>
    <t>Quanto em 2 Anos ?</t>
  </si>
  <si>
    <t>Quanto em 5 Anos ?</t>
  </si>
  <si>
    <t>Quanto em 10 Anos ?</t>
  </si>
  <si>
    <t>Quanto em 20 Anos ?</t>
  </si>
  <si>
    <t>Quanto em 30 Anos ?</t>
  </si>
  <si>
    <t>CENARIOS</t>
  </si>
  <si>
    <t>Salário</t>
  </si>
  <si>
    <t>Rendimento da Carteira</t>
  </si>
  <si>
    <t>Patrimônio Acumulado</t>
  </si>
  <si>
    <t>Dividendo</t>
  </si>
  <si>
    <t>PERFIL</t>
  </si>
  <si>
    <t>Valor a ser investidos por mês</t>
  </si>
  <si>
    <t>Moderado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</si>
  <si>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</si>
  <si>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</si>
  <si>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</si>
  <si>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</si>
  <si>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</si>
  <si>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</si>
  <si>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</si>
  <si>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</si>
  <si>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</si>
  <si>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CHAVE</t>
  </si>
  <si>
    <t>Conservador</t>
  </si>
  <si>
    <t>Agressivo</t>
  </si>
  <si>
    <t>%</t>
  </si>
  <si>
    <t>Sugestão de investimento (30%)</t>
  </si>
  <si>
    <t>ORIGEM DO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</si>
</sst>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ourier New"/>
      <family val="3"/>
    </font>
    <font>
      <sz val="14"/>
      <color theme="1"/>
      <name val="Courier New"/>
      <family val="3"/>
    </font>
    <font>
      <b/>
      <sz val="14"/>
      <color theme="1"/>
      <name val="Courier New"/>
      <family val="3"/>
    </font>
    <font>
      <sz val="11"/>
      <color rgb="FF000000"/>
      <name val="Aptos Narrow"/>
      <family val="2"/>
      <scheme val="minor"/>
    </font>
    <font>
      <sz val="12"/>
      <color rgb="FF000000"/>
      <name val="Courier New"/>
      <family val="3"/>
    </font>
    <font>
      <b/>
      <sz val="18"/>
      <color theme="0"/>
      <name val="Courier New"/>
      <family val="3"/>
    </font>
    <font>
      <b/>
      <sz val="12"/>
      <color theme="1"/>
      <name val="Courier New"/>
      <family val="3"/>
    </font>
    <font>
      <sz val="11"/>
      <color rgb="FF3F3F76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2"/>
      <color rgb="FF3F3F7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1" fillId="9" borderId="32" applyNumberFormat="0" applyAlignment="0" applyProtection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8" fillId="4" borderId="5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164" fontId="8" fillId="4" borderId="7" xfId="1" applyNumberFormat="1" applyFont="1" applyFill="1" applyBorder="1" applyAlignment="1">
      <alignment horizontal="right"/>
    </xf>
    <xf numFmtId="164" fontId="8" fillId="4" borderId="10" xfId="1" applyNumberFormat="1" applyFont="1" applyFill="1" applyBorder="1" applyAlignment="1">
      <alignment horizontal="right"/>
    </xf>
    <xf numFmtId="164" fontId="8" fillId="4" borderId="13" xfId="1" applyNumberFormat="1" applyFont="1" applyFill="1" applyBorder="1" applyAlignment="1">
      <alignment horizontal="right"/>
    </xf>
    <xf numFmtId="164" fontId="8" fillId="4" borderId="6" xfId="1" applyNumberFormat="1" applyFont="1" applyFill="1" applyBorder="1" applyAlignment="1">
      <alignment horizontal="right"/>
    </xf>
    <xf numFmtId="164" fontId="8" fillId="4" borderId="9" xfId="1" applyNumberFormat="1" applyFont="1" applyFill="1" applyBorder="1" applyAlignment="1">
      <alignment horizontal="right"/>
    </xf>
    <xf numFmtId="164" fontId="8" fillId="4" borderId="12" xfId="1" applyNumberFormat="1" applyFont="1" applyFill="1" applyBorder="1" applyAlignment="1">
      <alignment horizontal="right"/>
    </xf>
    <xf numFmtId="164" fontId="4" fillId="0" borderId="22" xfId="0" applyNumberFormat="1" applyFont="1" applyBorder="1"/>
    <xf numFmtId="10" fontId="4" fillId="0" borderId="15" xfId="0" applyNumberFormat="1" applyFont="1" applyBorder="1"/>
    <xf numFmtId="0" fontId="9" fillId="2" borderId="2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4" fillId="6" borderId="17" xfId="0" applyNumberFormat="1" applyFont="1" applyFill="1" applyBorder="1"/>
    <xf numFmtId="0" fontId="9" fillId="2" borderId="1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164" fontId="12" fillId="0" borderId="25" xfId="1" applyNumberFormat="1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10" fontId="12" fillId="0" borderId="28" xfId="0" applyNumberFormat="1" applyFont="1" applyBorder="1" applyAlignment="1">
      <alignment horizontal="right"/>
    </xf>
    <xf numFmtId="8" fontId="13" fillId="7" borderId="28" xfId="0" applyNumberFormat="1" applyFont="1" applyFill="1" applyBorder="1" applyAlignment="1">
      <alignment horizontal="right"/>
    </xf>
    <xf numFmtId="8" fontId="13" fillId="7" borderId="31" xfId="0" applyNumberFormat="1" applyFont="1" applyFill="1" applyBorder="1" applyAlignment="1">
      <alignment horizontal="right"/>
    </xf>
    <xf numFmtId="9" fontId="4" fillId="0" borderId="33" xfId="0" applyNumberFormat="1" applyFont="1" applyBorder="1"/>
    <xf numFmtId="9" fontId="4" fillId="0" borderId="34" xfId="0" applyNumberFormat="1" applyFont="1" applyBorder="1"/>
    <xf numFmtId="9" fontId="4" fillId="0" borderId="35" xfId="0" applyNumberFormat="1" applyFont="1" applyBorder="1"/>
    <xf numFmtId="0" fontId="10" fillId="3" borderId="36" xfId="0" applyFont="1" applyFill="1" applyBorder="1"/>
    <xf numFmtId="0" fontId="10" fillId="3" borderId="37" xfId="0" applyFont="1" applyFill="1" applyBorder="1"/>
    <xf numFmtId="0" fontId="10" fillId="3" borderId="38" xfId="0" applyFont="1" applyFill="1" applyBorder="1"/>
    <xf numFmtId="0" fontId="4" fillId="10" borderId="39" xfId="0" applyFont="1" applyFill="1" applyBorder="1"/>
    <xf numFmtId="164" fontId="4" fillId="0" borderId="40" xfId="0" applyNumberFormat="1" applyFont="1" applyBorder="1"/>
    <xf numFmtId="0" fontId="4" fillId="10" borderId="41" xfId="0" applyFont="1" applyFill="1" applyBorder="1"/>
    <xf numFmtId="164" fontId="4" fillId="0" borderId="42" xfId="0" applyNumberFormat="1" applyFont="1" applyBorder="1"/>
    <xf numFmtId="0" fontId="4" fillId="10" borderId="43" xfId="0" applyFont="1" applyFill="1" applyBorder="1"/>
    <xf numFmtId="164" fontId="4" fillId="0" borderId="44" xfId="0" applyNumberFormat="1" applyFont="1" applyBorder="1"/>
    <xf numFmtId="0" fontId="4" fillId="8" borderId="45" xfId="0" applyFont="1" applyFill="1" applyBorder="1"/>
    <xf numFmtId="0" fontId="4" fillId="8" borderId="46" xfId="0" applyFont="1" applyFill="1" applyBorder="1"/>
    <xf numFmtId="164" fontId="10" fillId="8" borderId="47" xfId="0" applyNumberFormat="1" applyFont="1" applyFill="1" applyBorder="1"/>
    <xf numFmtId="164" fontId="14" fillId="9" borderId="32" xfId="2" applyNumberFormat="1" applyFont="1"/>
    <xf numFmtId="0" fontId="14" fillId="9" borderId="48" xfId="2" applyFont="1" applyBorder="1" applyAlignment="1">
      <alignment horizontal="left"/>
    </xf>
    <xf numFmtId="0" fontId="14" fillId="9" borderId="49" xfId="2" applyFont="1" applyBorder="1" applyAlignment="1">
      <alignment horizontal="left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7" borderId="26" xfId="0" applyFont="1" applyFill="1" applyBorder="1" applyAlignment="1">
      <alignment horizontal="left" vertical="center"/>
    </xf>
    <xf numFmtId="0" fontId="6" fillId="7" borderId="27" xfId="0" applyFont="1" applyFill="1" applyBorder="1" applyAlignment="1">
      <alignment horizontal="left" vertical="center"/>
    </xf>
    <xf numFmtId="0" fontId="6" fillId="7" borderId="29" xfId="0" applyFont="1" applyFill="1" applyBorder="1" applyAlignment="1">
      <alignment horizontal="left" vertical="center"/>
    </xf>
    <xf numFmtId="0" fontId="6" fillId="7" borderId="30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4" fillId="6" borderId="21" xfId="0" applyFont="1" applyFill="1" applyBorder="1" applyAlignment="1">
      <alignment horizontal="left"/>
    </xf>
    <xf numFmtId="0" fontId="1" fillId="8" borderId="36" xfId="0" applyFont="1" applyFill="1" applyBorder="1"/>
    <xf numFmtId="0" fontId="1" fillId="8" borderId="37" xfId="0" applyFont="1" applyFill="1" applyBorder="1"/>
    <xf numFmtId="0" fontId="10" fillId="8" borderId="37" xfId="0" applyFont="1" applyFill="1" applyBorder="1"/>
    <xf numFmtId="0" fontId="1" fillId="8" borderId="38" xfId="0" applyFont="1" applyFill="1" applyBorder="1" applyAlignment="1">
      <alignment horizontal="center"/>
    </xf>
    <xf numFmtId="0" fontId="0" fillId="6" borderId="50" xfId="0" applyFill="1" applyBorder="1"/>
    <xf numFmtId="0" fontId="0" fillId="6" borderId="51" xfId="0" applyFill="1" applyBorder="1"/>
    <xf numFmtId="0" fontId="4" fillId="6" borderId="51" xfId="0" applyFont="1" applyFill="1" applyBorder="1"/>
    <xf numFmtId="0" fontId="0" fillId="7" borderId="50" xfId="0" applyFill="1" applyBorder="1"/>
    <xf numFmtId="0" fontId="0" fillId="7" borderId="51" xfId="0" applyFill="1" applyBorder="1"/>
    <xf numFmtId="0" fontId="4" fillId="7" borderId="51" xfId="0" applyFont="1" applyFill="1" applyBorder="1"/>
    <xf numFmtId="9" fontId="7" fillId="7" borderId="52" xfId="0" applyNumberFormat="1" applyFont="1" applyFill="1" applyBorder="1" applyAlignment="1">
      <alignment horizontal="center"/>
    </xf>
    <xf numFmtId="0" fontId="0" fillId="8" borderId="50" xfId="0" applyFill="1" applyBorder="1"/>
    <xf numFmtId="0" fontId="0" fillId="8" borderId="51" xfId="0" applyFill="1" applyBorder="1"/>
    <xf numFmtId="0" fontId="4" fillId="8" borderId="51" xfId="0" applyFont="1" applyFill="1" applyBorder="1"/>
    <xf numFmtId="9" fontId="7" fillId="8" borderId="52" xfId="0" applyNumberFormat="1" applyFont="1" applyFill="1" applyBorder="1" applyAlignment="1">
      <alignment horizontal="center"/>
    </xf>
    <xf numFmtId="0" fontId="0" fillId="8" borderId="53" xfId="0" applyFill="1" applyBorder="1"/>
    <xf numFmtId="0" fontId="0" fillId="8" borderId="54" xfId="0" applyFill="1" applyBorder="1"/>
    <xf numFmtId="0" fontId="4" fillId="8" borderId="54" xfId="0" applyFont="1" applyFill="1" applyBorder="1"/>
    <xf numFmtId="9" fontId="7" fillId="8" borderId="55" xfId="0" applyNumberFormat="1" applyFont="1" applyFill="1" applyBorder="1" applyAlignment="1">
      <alignment horizontal="center"/>
    </xf>
    <xf numFmtId="9" fontId="4" fillId="6" borderId="52" xfId="0" applyNumberFormat="1" applyFont="1" applyFill="1" applyBorder="1" applyAlignment="1">
      <alignment horizontal="center"/>
    </xf>
  </cellXfs>
  <cellStyles count="3">
    <cellStyle name="Entrada" xfId="2" builtinId="20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Courier New" panose="02070309020205020404" pitchFamily="49" charset="0"/>
                <a:cs typeface="Courier New" panose="02070309020205020404" pitchFamily="49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Controle_Investimento!$E$30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CA-4AA8-87BD-FECDF4A172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A2-4AE7-8A5C-4DB58B6785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A2-4AE7-8A5C-4DB58B6785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A2-4AE7-8A5C-4DB58B6785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A2-4AE7-8A5C-4DB58B6785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A2-4AE7-8A5C-4DB58B678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Controle_Investimento!$D$31:$D$36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Controle_Investimento!$E$31:$E$36</c:f>
              <c:numCache>
                <c:formatCode>0%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0.12</c:v>
                </c:pt>
                <c:pt idx="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A-4AA8-87BD-FECDF4A1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38099</xdr:colOff>
      <xdr:row>1</xdr:row>
      <xdr:rowOff>47626</xdr:rowOff>
    </xdr:from>
    <xdr:to>
      <xdr:col>5</xdr:col>
      <xdr:colOff>1314450</xdr:colOff>
      <xdr:row>5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90B1E21-7859-D03F-8151-C5EB3BB864FF}"/>
            </a:ext>
          </a:extLst>
        </xdr:cNvPr>
        <xdr:cNvSpPr/>
      </xdr:nvSpPr>
      <xdr:spPr>
        <a:xfrm>
          <a:off x="419099" y="257176"/>
          <a:ext cx="6057901" cy="847724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Bodoni MT Black" panose="02070A03080606020203" pitchFamily="18" charset="0"/>
            </a:rPr>
            <a:t>GRU INVESTIMENTOS</a:t>
          </a:r>
          <a:r>
            <a:rPr lang="pt-BR" sz="36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Bodoni MT Black" panose="02070A03080606020203" pitchFamily="18" charset="0"/>
            </a:rPr>
            <a:t> </a:t>
          </a:r>
          <a:endParaRPr lang="pt-BR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outerShdw dist="38100" dir="2700000" algn="bl" rotWithShape="0">
                <a:schemeClr val="accent5"/>
              </a:outerShdw>
            </a:effectLst>
            <a:latin typeface="Bodoni MT Black" panose="02070A03080606020203" pitchFamily="18" charset="0"/>
          </a:endParaRPr>
        </a:p>
      </xdr:txBody>
    </xdr:sp>
    <xdr:clientData/>
  </xdr:twoCellAnchor>
  <xdr:twoCellAnchor>
    <xdr:from>
      <xdr:col>3</xdr:col>
      <xdr:colOff>0</xdr:colOff>
      <xdr:row>37</xdr:row>
      <xdr:rowOff>171449</xdr:rowOff>
    </xdr:from>
    <xdr:to>
      <xdr:col>5</xdr:col>
      <xdr:colOff>1562100</xdr:colOff>
      <xdr:row>53</xdr:row>
      <xdr:rowOff>104774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084F8D-97BC-B409-ABAC-3F91527DC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476250</xdr:colOff>
      <xdr:row>7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CB55F0-CC5A-4DBC-AEBA-7EB6AF7927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32"/>
        <a:stretch>
          <a:fillRect/>
        </a:stretch>
      </xdr:blipFill>
      <xdr:spPr bwMode="auto">
        <a:xfrm>
          <a:off x="0" y="0"/>
          <a:ext cx="657225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DB01-C9F9-42CD-B464-DADFE51EB35B}">
  <dimension ref="C1:H63"/>
  <sheetViews>
    <sheetView showGridLines="0" showRowColHeaders="0" tabSelected="1" topLeftCell="C16" workbookViewId="0">
      <selection activeCell="F27" sqref="F27"/>
    </sheetView>
  </sheetViews>
  <sheetFormatPr defaultColWidth="0" defaultRowHeight="15" zeroHeight="1" x14ac:dyDescent="0.25"/>
  <cols>
    <col min="1" max="2" width="9.140625" hidden="1" customWidth="1"/>
    <col min="3" max="3" width="5.7109375" customWidth="1"/>
    <col min="4" max="4" width="29" bestFit="1" customWidth="1"/>
    <col min="5" max="5" width="42.7109375" bestFit="1" customWidth="1"/>
    <col min="6" max="6" width="24" bestFit="1" customWidth="1"/>
    <col min="7" max="7" width="5.7109375" customWidth="1"/>
    <col min="8" max="8" width="10.7109375" hidden="1" customWidth="1"/>
    <col min="9" max="16384" width="9.140625" hidden="1"/>
  </cols>
  <sheetData>
    <row r="1" spans="4:6" ht="16.5" customHeight="1" x14ac:dyDescent="0.25"/>
    <row r="2" spans="4:6" x14ac:dyDescent="0.25"/>
    <row r="3" spans="4:6" x14ac:dyDescent="0.25"/>
    <row r="4" spans="4:6" x14ac:dyDescent="0.25"/>
    <row r="5" spans="4:6" x14ac:dyDescent="0.25"/>
    <row r="6" spans="4:6" x14ac:dyDescent="0.25"/>
    <row r="7" spans="4:6" ht="15.75" thickBot="1" x14ac:dyDescent="0.3"/>
    <row r="8" spans="4:6" ht="27" customHeight="1" thickBot="1" x14ac:dyDescent="0.3">
      <c r="D8" s="43" t="s">
        <v>33</v>
      </c>
      <c r="E8" s="44"/>
      <c r="F8" s="45"/>
    </row>
    <row r="9" spans="4:6" ht="16.5" thickBot="1" x14ac:dyDescent="0.3">
      <c r="D9" s="57" t="s">
        <v>12</v>
      </c>
      <c r="E9" s="58"/>
      <c r="F9" s="12">
        <v>5480</v>
      </c>
    </row>
    <row r="10" spans="4:6" ht="16.5" thickBot="1" x14ac:dyDescent="0.3">
      <c r="D10" s="59" t="s">
        <v>13</v>
      </c>
      <c r="E10" s="60"/>
      <c r="F10" s="13">
        <v>8.5000000000000006E-3</v>
      </c>
    </row>
    <row r="11" spans="4:6" ht="16.5" thickBot="1" x14ac:dyDescent="0.3">
      <c r="D11" s="61" t="s">
        <v>32</v>
      </c>
      <c r="E11" s="62"/>
      <c r="F11" s="17">
        <f>F9*30%</f>
        <v>1644</v>
      </c>
    </row>
    <row r="12" spans="4:6" ht="15.75" thickBot="1" x14ac:dyDescent="0.3">
      <c r="D12" s="1"/>
    </row>
    <row r="13" spans="4:6" ht="24.75" thickBot="1" x14ac:dyDescent="0.45">
      <c r="D13" s="54" t="s">
        <v>4</v>
      </c>
      <c r="E13" s="55"/>
      <c r="F13" s="56"/>
    </row>
    <row r="14" spans="4:6" ht="19.5" thickBot="1" x14ac:dyDescent="0.3">
      <c r="D14" s="46" t="s">
        <v>0</v>
      </c>
      <c r="E14" s="47"/>
      <c r="F14" s="20">
        <f>sugestao_invest</f>
        <v>1644</v>
      </c>
    </row>
    <row r="15" spans="4:6" ht="19.5" thickBot="1" x14ac:dyDescent="0.3">
      <c r="D15" s="48" t="s">
        <v>2</v>
      </c>
      <c r="E15" s="49"/>
      <c r="F15" s="21">
        <v>5</v>
      </c>
    </row>
    <row r="16" spans="4:6" ht="19.5" thickBot="1" x14ac:dyDescent="0.3">
      <c r="D16" s="48" t="s">
        <v>1</v>
      </c>
      <c r="E16" s="49"/>
      <c r="F16" s="22">
        <v>1.0789999999999999E-2</v>
      </c>
    </row>
    <row r="17" spans="3:6" ht="20.25" thickBot="1" x14ac:dyDescent="0.35">
      <c r="D17" s="50" t="s">
        <v>5</v>
      </c>
      <c r="E17" s="51"/>
      <c r="F17" s="23">
        <f>FV(F16,F15*12,F14)*(-1)</f>
        <v>137729.24661351368</v>
      </c>
    </row>
    <row r="18" spans="3:6" ht="20.25" thickBot="1" x14ac:dyDescent="0.35">
      <c r="D18" s="52" t="s">
        <v>3</v>
      </c>
      <c r="E18" s="53"/>
      <c r="F18" s="24">
        <f>F17*F10</f>
        <v>1170.6985962148663</v>
      </c>
    </row>
    <row r="19" spans="3:6" ht="15.75" thickBot="1" x14ac:dyDescent="0.3"/>
    <row r="20" spans="3:6" ht="27" customHeight="1" thickBot="1" x14ac:dyDescent="0.3">
      <c r="D20" s="14" t="s">
        <v>11</v>
      </c>
      <c r="E20" s="15" t="s">
        <v>14</v>
      </c>
      <c r="F20" s="16" t="s">
        <v>15</v>
      </c>
    </row>
    <row r="21" spans="3:6" ht="16.5" thickBot="1" x14ac:dyDescent="0.3">
      <c r="C21" s="2">
        <v>2</v>
      </c>
      <c r="D21" s="3" t="s">
        <v>6</v>
      </c>
      <c r="E21" s="9">
        <f>FV($F$16,$C21*12,$F$14)*-1</f>
        <v>44762.219277328739</v>
      </c>
      <c r="F21" s="6">
        <f>E21*$F$10</f>
        <v>380.4788638572943</v>
      </c>
    </row>
    <row r="22" spans="3:6" ht="16.5" thickBot="1" x14ac:dyDescent="0.3">
      <c r="C22" s="2">
        <v>5</v>
      </c>
      <c r="D22" s="4" t="s">
        <v>7</v>
      </c>
      <c r="E22" s="10">
        <f>FV($F$16,$C22*12,$F$14)*-1</f>
        <v>137729.24661351368</v>
      </c>
      <c r="F22" s="7">
        <f>E22*$F$10</f>
        <v>1170.6985962148663</v>
      </c>
    </row>
    <row r="23" spans="3:6" ht="16.5" thickBot="1" x14ac:dyDescent="0.3">
      <c r="C23" s="2">
        <v>10</v>
      </c>
      <c r="D23" s="4" t="s">
        <v>8</v>
      </c>
      <c r="E23" s="10">
        <f>FV($F$16,$C23*12,$F$14)*-1</f>
        <v>399959.2453996031</v>
      </c>
      <c r="F23" s="7">
        <f>E23*$F$10</f>
        <v>3399.6535858966267</v>
      </c>
    </row>
    <row r="24" spans="3:6" ht="16.5" thickBot="1" x14ac:dyDescent="0.3">
      <c r="C24" s="2">
        <v>20</v>
      </c>
      <c r="D24" s="4" t="s">
        <v>9</v>
      </c>
      <c r="E24" s="10">
        <f>FV($F$16,$C24*12,$F$14)*-1</f>
        <v>1849826.1697596004</v>
      </c>
      <c r="F24" s="7">
        <f>E24*$F$10</f>
        <v>15723.522442956604</v>
      </c>
    </row>
    <row r="25" spans="3:6" ht="16.5" thickBot="1" x14ac:dyDescent="0.3">
      <c r="C25" s="2">
        <v>30</v>
      </c>
      <c r="D25" s="5" t="s">
        <v>10</v>
      </c>
      <c r="E25" s="11">
        <f>FV($F$16,$C25*12,$F$14)*-1</f>
        <v>7105646.9128277507</v>
      </c>
      <c r="F25" s="8">
        <f>E25*$F$10</f>
        <v>60397.998759035887</v>
      </c>
    </row>
    <row r="26" spans="3:6" ht="15.75" thickBot="1" x14ac:dyDescent="0.3"/>
    <row r="27" spans="3:6" ht="24.75" thickBot="1" x14ac:dyDescent="0.3">
      <c r="D27" s="14" t="s">
        <v>16</v>
      </c>
      <c r="E27" s="19"/>
      <c r="F27" s="18" t="s">
        <v>29</v>
      </c>
    </row>
    <row r="28" spans="3:6" ht="15.75" x14ac:dyDescent="0.25">
      <c r="D28" s="41" t="s">
        <v>17</v>
      </c>
      <c r="E28" s="42"/>
      <c r="F28" s="40">
        <f>sugestao_invest</f>
        <v>1644</v>
      </c>
    </row>
    <row r="29" spans="3:6" ht="15.75" thickBot="1" x14ac:dyDescent="0.3"/>
    <row r="30" spans="3:6" ht="16.5" x14ac:dyDescent="0.3">
      <c r="D30" s="28" t="s">
        <v>19</v>
      </c>
      <c r="E30" s="29" t="s">
        <v>20</v>
      </c>
      <c r="F30" s="30" t="s">
        <v>21</v>
      </c>
    </row>
    <row r="31" spans="3:6" ht="15.75" x14ac:dyDescent="0.25">
      <c r="D31" s="31" t="s">
        <v>22</v>
      </c>
      <c r="E31" s="25">
        <f>VLOOKUP($F$27&amp;"-"&amp;D31,Planilha1!$A$2:$D$20,4,FALSE)</f>
        <v>0.25</v>
      </c>
      <c r="F31" s="32">
        <f>$F$28*E31</f>
        <v>411</v>
      </c>
    </row>
    <row r="32" spans="3:6" ht="15.75" x14ac:dyDescent="0.25">
      <c r="D32" s="33" t="s">
        <v>23</v>
      </c>
      <c r="E32" s="26">
        <f>VLOOKUP($F$27&amp;"-"&amp;D32,Planilha1!$A$2:$D$20,4,FALSE)</f>
        <v>0.3</v>
      </c>
      <c r="F32" s="34">
        <f t="shared" ref="F32:F36" si="0">$F$28*E32</f>
        <v>493.2</v>
      </c>
    </row>
    <row r="33" spans="4:6" ht="15.75" x14ac:dyDescent="0.25">
      <c r="D33" s="33" t="s">
        <v>24</v>
      </c>
      <c r="E33" s="26">
        <f>VLOOKUP($F$27&amp;"-"&amp;D33,Planilha1!$A$2:$D$20,4,FALSE)</f>
        <v>0.15</v>
      </c>
      <c r="F33" s="34">
        <f t="shared" si="0"/>
        <v>246.6</v>
      </c>
    </row>
    <row r="34" spans="4:6" ht="15.75" x14ac:dyDescent="0.25">
      <c r="D34" s="33" t="s">
        <v>25</v>
      </c>
      <c r="E34" s="26">
        <f>VLOOKUP($F$27&amp;"-"&amp;D34,Planilha1!$A$2:$D$20,4,FALSE)</f>
        <v>0.1</v>
      </c>
      <c r="F34" s="34">
        <f t="shared" si="0"/>
        <v>164.4</v>
      </c>
    </row>
    <row r="35" spans="4:6" ht="15.75" x14ac:dyDescent="0.25">
      <c r="D35" s="33" t="s">
        <v>26</v>
      </c>
      <c r="E35" s="26">
        <f>VLOOKUP($F$27&amp;"-"&amp;D35,Planilha1!$A$2:$D$20,4,FALSE)</f>
        <v>0.12</v>
      </c>
      <c r="F35" s="34">
        <f t="shared" si="0"/>
        <v>197.28</v>
      </c>
    </row>
    <row r="36" spans="4:6" ht="15.75" x14ac:dyDescent="0.25">
      <c r="D36" s="35" t="s">
        <v>27</v>
      </c>
      <c r="E36" s="27">
        <f>VLOOKUP($F$27&amp;"-"&amp;D36,Planilha1!$A$2:$D$20,4,FALSE)</f>
        <v>0.08</v>
      </c>
      <c r="F36" s="36">
        <f t="shared" si="0"/>
        <v>131.52000000000001</v>
      </c>
    </row>
    <row r="37" spans="4:6" ht="17.25" thickBot="1" x14ac:dyDescent="0.35">
      <c r="D37" s="37"/>
      <c r="E37" s="38"/>
      <c r="F37" s="39">
        <f>SUM(F31:F36)</f>
        <v>1644</v>
      </c>
    </row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hidden="1" x14ac:dyDescent="0.25"/>
    <row r="62" customFormat="1" hidden="1" x14ac:dyDescent="0.25"/>
    <row r="63" customFormat="1" hidden="1" x14ac:dyDescent="0.25"/>
  </sheetData>
  <mergeCells count="11">
    <mergeCell ref="D28:E28"/>
    <mergeCell ref="D8:F8"/>
    <mergeCell ref="D14:E14"/>
    <mergeCell ref="D15:E15"/>
    <mergeCell ref="D16:E16"/>
    <mergeCell ref="D17:E17"/>
    <mergeCell ref="D18:E18"/>
    <mergeCell ref="D13:F13"/>
    <mergeCell ref="D9:E9"/>
    <mergeCell ref="D10:E10"/>
    <mergeCell ref="D11:E11"/>
  </mergeCells>
  <dataValidations count="1">
    <dataValidation type="list" allowBlank="1" showInputMessage="1" showErrorMessage="1" sqref="F27" xr:uid="{FC223B5A-0A5C-4F1A-B379-D9A6FBDBAC50}">
      <formula1>"Agressivo, 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3D8C-EC71-47E3-9548-EFFE842B8911}">
  <dimension ref="A1:D20"/>
  <sheetViews>
    <sheetView workbookViewId="0">
      <selection activeCell="D3" sqref="D3:D20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23.140625" bestFit="1" customWidth="1"/>
  </cols>
  <sheetData>
    <row r="1" spans="1:4" ht="15.75" thickBot="1" x14ac:dyDescent="0.3"/>
    <row r="2" spans="1:4" ht="17.25" thickBot="1" x14ac:dyDescent="0.35">
      <c r="A2" s="63" t="s">
        <v>28</v>
      </c>
      <c r="B2" s="64" t="s">
        <v>16</v>
      </c>
      <c r="C2" s="65" t="s">
        <v>19</v>
      </c>
      <c r="D2" s="66" t="s">
        <v>31</v>
      </c>
    </row>
    <row r="3" spans="1:4" ht="16.5" thickBot="1" x14ac:dyDescent="0.3">
      <c r="A3" s="67" t="str">
        <f>B3&amp;"-"&amp;C3</f>
        <v>Moderado-PAPEL</v>
      </c>
      <c r="B3" s="68" t="s">
        <v>18</v>
      </c>
      <c r="C3" s="69" t="s">
        <v>22</v>
      </c>
      <c r="D3" s="82">
        <v>0.35</v>
      </c>
    </row>
    <row r="4" spans="1:4" ht="16.5" thickBot="1" x14ac:dyDescent="0.3">
      <c r="A4" s="67" t="str">
        <f t="shared" ref="A4:A20" si="0">B4&amp;"-"&amp;C4</f>
        <v>Moderado-TIJOLO</v>
      </c>
      <c r="B4" s="68" t="s">
        <v>18</v>
      </c>
      <c r="C4" s="69" t="s">
        <v>23</v>
      </c>
      <c r="D4" s="82">
        <v>0.35</v>
      </c>
    </row>
    <row r="5" spans="1:4" ht="16.5" thickBot="1" x14ac:dyDescent="0.3">
      <c r="A5" s="67" t="str">
        <f t="shared" si="0"/>
        <v>Moderado-HIBRIDOS</v>
      </c>
      <c r="B5" s="68" t="s">
        <v>18</v>
      </c>
      <c r="C5" s="69" t="s">
        <v>24</v>
      </c>
      <c r="D5" s="82">
        <v>0.15</v>
      </c>
    </row>
    <row r="6" spans="1:4" ht="16.5" thickBot="1" x14ac:dyDescent="0.3">
      <c r="A6" s="67" t="str">
        <f t="shared" si="0"/>
        <v>Moderado-FOFS</v>
      </c>
      <c r="B6" s="68" t="s">
        <v>18</v>
      </c>
      <c r="C6" s="69" t="s">
        <v>25</v>
      </c>
      <c r="D6" s="82">
        <v>0.1</v>
      </c>
    </row>
    <row r="7" spans="1:4" ht="16.5" thickBot="1" x14ac:dyDescent="0.3">
      <c r="A7" s="67" t="str">
        <f t="shared" si="0"/>
        <v>Moderado-DESENVOLVIMENTO</v>
      </c>
      <c r="B7" s="68" t="s">
        <v>18</v>
      </c>
      <c r="C7" s="69" t="s">
        <v>26</v>
      </c>
      <c r="D7" s="82">
        <v>0.03</v>
      </c>
    </row>
    <row r="8" spans="1:4" ht="16.5" thickBot="1" x14ac:dyDescent="0.3">
      <c r="A8" s="67" t="str">
        <f t="shared" si="0"/>
        <v>Moderado-HOTELARIA</v>
      </c>
      <c r="B8" s="68" t="s">
        <v>18</v>
      </c>
      <c r="C8" s="69" t="s">
        <v>27</v>
      </c>
      <c r="D8" s="82">
        <v>0.02</v>
      </c>
    </row>
    <row r="9" spans="1:4" ht="16.5" thickBot="1" x14ac:dyDescent="0.3">
      <c r="A9" s="70" t="str">
        <f t="shared" si="0"/>
        <v>Conservador-PAPEL</v>
      </c>
      <c r="B9" s="71" t="s">
        <v>29</v>
      </c>
      <c r="C9" s="72" t="s">
        <v>22</v>
      </c>
      <c r="D9" s="73">
        <v>0.25</v>
      </c>
    </row>
    <row r="10" spans="1:4" ht="16.5" thickBot="1" x14ac:dyDescent="0.3">
      <c r="A10" s="70" t="str">
        <f t="shared" si="0"/>
        <v>Conservador-TIJOLO</v>
      </c>
      <c r="B10" s="71" t="s">
        <v>29</v>
      </c>
      <c r="C10" s="72" t="s">
        <v>23</v>
      </c>
      <c r="D10" s="73">
        <v>0.3</v>
      </c>
    </row>
    <row r="11" spans="1:4" ht="16.5" thickBot="1" x14ac:dyDescent="0.3">
      <c r="A11" s="70" t="str">
        <f t="shared" si="0"/>
        <v>Conservador-HIBRIDOS</v>
      </c>
      <c r="B11" s="71" t="s">
        <v>29</v>
      </c>
      <c r="C11" s="72" t="s">
        <v>24</v>
      </c>
      <c r="D11" s="73">
        <v>0.15</v>
      </c>
    </row>
    <row r="12" spans="1:4" ht="16.5" thickBot="1" x14ac:dyDescent="0.3">
      <c r="A12" s="70" t="str">
        <f t="shared" si="0"/>
        <v>Conservador-FOFS</v>
      </c>
      <c r="B12" s="71" t="s">
        <v>29</v>
      </c>
      <c r="C12" s="72" t="s">
        <v>25</v>
      </c>
      <c r="D12" s="73">
        <v>0.1</v>
      </c>
    </row>
    <row r="13" spans="1:4" ht="16.5" thickBot="1" x14ac:dyDescent="0.3">
      <c r="A13" s="70" t="str">
        <f t="shared" si="0"/>
        <v>Conservador-DESENVOLVIMENTO</v>
      </c>
      <c r="B13" s="71" t="s">
        <v>29</v>
      </c>
      <c r="C13" s="72" t="s">
        <v>26</v>
      </c>
      <c r="D13" s="73">
        <v>0.12</v>
      </c>
    </row>
    <row r="14" spans="1:4" ht="16.5" thickBot="1" x14ac:dyDescent="0.3">
      <c r="A14" s="70" t="str">
        <f t="shared" si="0"/>
        <v>Conservador-HOTELARIA</v>
      </c>
      <c r="B14" s="71" t="s">
        <v>29</v>
      </c>
      <c r="C14" s="72" t="s">
        <v>27</v>
      </c>
      <c r="D14" s="73">
        <v>0.08</v>
      </c>
    </row>
    <row r="15" spans="1:4" ht="16.5" thickBot="1" x14ac:dyDescent="0.3">
      <c r="A15" s="74" t="str">
        <f t="shared" si="0"/>
        <v>Agressivo-PAPEL</v>
      </c>
      <c r="B15" s="75" t="s">
        <v>30</v>
      </c>
      <c r="C15" s="76" t="s">
        <v>22</v>
      </c>
      <c r="D15" s="77">
        <v>0.2</v>
      </c>
    </row>
    <row r="16" spans="1:4" ht="16.5" thickBot="1" x14ac:dyDescent="0.3">
      <c r="A16" s="74" t="str">
        <f t="shared" si="0"/>
        <v>Agressivo-TIJOLO</v>
      </c>
      <c r="B16" s="75" t="s">
        <v>30</v>
      </c>
      <c r="C16" s="76" t="s">
        <v>23</v>
      </c>
      <c r="D16" s="77">
        <v>0.25</v>
      </c>
    </row>
    <row r="17" spans="1:4" ht="16.5" thickBot="1" x14ac:dyDescent="0.3">
      <c r="A17" s="74" t="str">
        <f t="shared" si="0"/>
        <v>Agressivo-HIBRIDOS</v>
      </c>
      <c r="B17" s="75" t="s">
        <v>30</v>
      </c>
      <c r="C17" s="76" t="s">
        <v>24</v>
      </c>
      <c r="D17" s="77">
        <v>0.15</v>
      </c>
    </row>
    <row r="18" spans="1:4" ht="16.5" thickBot="1" x14ac:dyDescent="0.3">
      <c r="A18" s="74" t="str">
        <f t="shared" si="0"/>
        <v>Agressivo-FOFS</v>
      </c>
      <c r="B18" s="75" t="s">
        <v>30</v>
      </c>
      <c r="C18" s="76" t="s">
        <v>25</v>
      </c>
      <c r="D18" s="77">
        <v>0.1</v>
      </c>
    </row>
    <row r="19" spans="1:4" ht="16.5" thickBot="1" x14ac:dyDescent="0.3">
      <c r="A19" s="74" t="str">
        <f t="shared" si="0"/>
        <v>Agressivo-DESENVOLVIMENTO</v>
      </c>
      <c r="B19" s="75" t="s">
        <v>30</v>
      </c>
      <c r="C19" s="76" t="s">
        <v>26</v>
      </c>
      <c r="D19" s="77">
        <v>0.2</v>
      </c>
    </row>
    <row r="20" spans="1:4" ht="16.5" thickBot="1" x14ac:dyDescent="0.3">
      <c r="A20" s="78" t="str">
        <f t="shared" si="0"/>
        <v>Agressivo-HOTELARIA</v>
      </c>
      <c r="B20" s="79" t="s">
        <v>30</v>
      </c>
      <c r="C20" s="80" t="s">
        <v>27</v>
      </c>
      <c r="D20" s="81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8B5A-4751-430F-9368-F2A824CE619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Controle_Investimento</vt:lpstr>
      <vt:lpstr>Planilha1</vt:lpstr>
      <vt:lpstr>Planilha2</vt:lpstr>
      <vt:lpstr>Aporte</vt:lpstr>
      <vt:lpstr>dividendo</vt:lpstr>
      <vt:lpstr>patrimonio_Ac</vt:lpstr>
      <vt:lpstr>QTD_Anos</vt:lpstr>
      <vt:lpstr>Rendiemento_Carteira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Martins da Silva</dc:creator>
  <cp:lastModifiedBy>Gilberto Martins da Silva</cp:lastModifiedBy>
  <cp:lastPrinted>2026-10-10T13:05:37Z</cp:lastPrinted>
  <dcterms:created xsi:type="dcterms:W3CDTF">2026-10-10T01:32:56Z</dcterms:created>
  <dcterms:modified xsi:type="dcterms:W3CDTF">2026-10-12T02:33:15Z</dcterms:modified>
</cp:coreProperties>
</file>